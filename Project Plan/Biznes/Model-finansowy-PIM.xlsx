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dsumowanie" sheetId="1" state="visible" r:id="rId3"/>
    <sheet name="Założenia" sheetId="2" state="visible" r:id="rId4"/>
    <sheet name="A_Produkt_SaaS" sheetId="3" state="visible" r:id="rId5"/>
    <sheet name="B_Uslugi" sheetId="4" state="visible" r:id="rId6"/>
    <sheet name="H_Hybryd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<sst xmlns="http://schemas.openxmlformats.org/spreadsheetml/2006/main" count="140" uniqueCount="101">
  <si>
    <t xml:space="preserve">Cortex PIM — Porównanie modeli biznesowych vs cele przychodowe</t>
  </si>
  <si>
    <t xml:space="preserve">Test: 300 000 zł (rok 1) oraz 10 000 000 zł (rok 7). Liczby z arkuszy scenariuszy.</t>
  </si>
  <si>
    <t xml:space="preserve">Model</t>
  </si>
  <si>
    <t xml:space="preserve">Przychód rok 1</t>
  </si>
  <si>
    <t xml:space="preserve">Real. celu R1</t>
  </si>
  <si>
    <t xml:space="preserve">Przychód rok 7</t>
  </si>
  <si>
    <t xml:space="preserve">Real. celu R7</t>
  </si>
  <si>
    <t xml:space="preserve">FTE rok 7</t>
  </si>
  <si>
    <t xml:space="preserve">Główne ograniczenie</t>
  </si>
  <si>
    <t xml:space="preserve">A — Produkt SaaS</t>
  </si>
  <si>
    <t xml:space="preserve">~3-5 (CS)</t>
  </si>
  <si>
    <t xml:space="preserve">Pozyskanie ~545 klientów bez budżetu marketingowego</t>
  </si>
  <si>
    <t xml:space="preserve">B — Usługi + SLA</t>
  </si>
  <si>
    <t xml:space="preserve">Liniowy wzrost FTE; 10 mln wymaga 25-30+ os.; max konflikt z Ideo</t>
  </si>
  <si>
    <t xml:space="preserve">H — Hybryda fazowa</t>
  </si>
  <si>
    <t xml:space="preserve">~8-12</t>
  </si>
  <si>
    <t xml:space="preserve">Wymaga ekspansji CEE/EU od ~roku 3-4</t>
  </si>
  <si>
    <t xml:space="preserve">Rekomendacja: H (hybryda fazowa) — patrz raport, sekcja 10. A jako docelowy charakter produktu, B tylko jako most cashowy z twardym capem.</t>
  </si>
  <si>
    <t xml:space="preserve">Cortex PIM — Model finansowy: założenia bazowe</t>
  </si>
  <si>
    <t xml:space="preserve">Wszystkie kwoty w zł. Niebieskie = wejścia do zmiany (scenariusze). Czarne = formuły. Zielone = odwołania międzyarkuszowe.</t>
  </si>
  <si>
    <t xml:space="preserve">KURSY WALUT</t>
  </si>
  <si>
    <t xml:space="preserve">Kurs EUR/PLN</t>
  </si>
  <si>
    <t xml:space="preserve">Założenie kursowe (~2026)</t>
  </si>
  <si>
    <t xml:space="preserve">Kurs USD/PLN</t>
  </si>
  <si>
    <t xml:space="preserve">PRODUKT SaaS</t>
  </si>
  <si>
    <t xml:space="preserve">ACV bazowe — SaaS (zł/rok/klient)</t>
  </si>
  <si>
    <t xml:space="preserve">zł</t>
  </si>
  <si>
    <t xml:space="preserve">Poniżej Akeneo Growth (~100k), powyżej Plytix. Źródło: Agent 3 / ITQlick, inriver</t>
  </si>
  <si>
    <t xml:space="preserve">ACV low</t>
  </si>
  <si>
    <t xml:space="preserve">Scenariusz pesymistyczny</t>
  </si>
  <si>
    <t xml:space="preserve">ACV high</t>
  </si>
  <si>
    <t xml:space="preserve">Scenariusz optymistyczny</t>
  </si>
  <si>
    <t xml:space="preserve">Churn roczny — SaaS pure (SMB)</t>
  </si>
  <si>
    <t xml:space="preserve">%</t>
  </si>
  <si>
    <t xml:space="preserve">SMB B2B SaaS 20-43%/rok. Źródło: Vitally/Optifai</t>
  </si>
  <si>
    <t xml:space="preserve">Churn roczny — SaaS hybryda</t>
  </si>
  <si>
    <t xml:space="preserve">Klienci z wdrożenia bardziej "sticky"</t>
  </si>
  <si>
    <t xml:space="preserve">USŁUGI / WDROŻENIA</t>
  </si>
  <si>
    <t xml:space="preserve">Wartość wdrożenia — średnia (zł)</t>
  </si>
  <si>
    <t xml:space="preserve">Średni projekt PIM 130-260k; dolny środek. Źródło: Growcode/Macopedia</t>
  </si>
  <si>
    <t xml:space="preserve">Marża brutto na usługach</t>
  </si>
  <si>
    <t xml:space="preserve">Professional services 30-60%, base 35%. Źródło: ProjectCor</t>
  </si>
  <si>
    <t xml:space="preserve">Maintenance/SLA (% wdrożenia / rok)</t>
  </si>
  <si>
    <t xml:space="preserve">15-25%/rok, base 18%. Źródło: Intigate</t>
  </si>
  <si>
    <t xml:space="preserve">Dni billowalne / FTE / rok</t>
  </si>
  <si>
    <t xml:space="preserve">dni</t>
  </si>
  <si>
    <t xml:space="preserve">~150 z 200-220 przy 70-75% utilization</t>
  </si>
  <si>
    <t xml:space="preserve">Śr. pracochłonność wdrożenia (dni)</t>
  </si>
  <si>
    <t xml:space="preserve">Średni projekt</t>
  </si>
  <si>
    <t xml:space="preserve">CELE PRZYCHODOWE</t>
  </si>
  <si>
    <t xml:space="preserve">Cel — rok 1</t>
  </si>
  <si>
    <t xml:space="preserve">Wejście operatora</t>
  </si>
  <si>
    <t xml:space="preserve">Cel — rok 7</t>
  </si>
  <si>
    <t xml:space="preserve">Scenariusz A — Produkt SaaS (SMB self-serve, "złote strzały" enterprise)</t>
  </si>
  <si>
    <t xml:space="preserve">Czysty produkt. Pozyskanie głównie self-serve/SEO/integracje. Klient = subskrypcja roczna.</t>
  </si>
  <si>
    <t xml:space="preserve">Pozycja</t>
  </si>
  <si>
    <t xml:space="preserve">Rok 1</t>
  </si>
  <si>
    <t xml:space="preserve">Rok 2</t>
  </si>
  <si>
    <t xml:space="preserve">Rok 3</t>
  </si>
  <si>
    <t xml:space="preserve">Rok 4</t>
  </si>
  <si>
    <t xml:space="preserve">Rok 5</t>
  </si>
  <si>
    <t xml:space="preserve">Rok 6</t>
  </si>
  <si>
    <t xml:space="preserve">Rok 7</t>
  </si>
  <si>
    <t xml:space="preserve">Nowi klienci (gross adds) [WEJŚCIE]</t>
  </si>
  <si>
    <t xml:space="preserve">Klienci na początku roku</t>
  </si>
  <si>
    <t xml:space="preserve">Klienci utraceni (churn)</t>
  </si>
  <si>
    <t xml:space="preserve">Klienci aktywni na koniec roku</t>
  </si>
  <si>
    <t xml:space="preserve">ACV (zł/rok)</t>
  </si>
  <si>
    <t xml:space="preserve">PRZYCHÓD SaaS (zł)</t>
  </si>
  <si>
    <t xml:space="preserve">Skumulowani pozyskani klienci (gross)</t>
  </si>
  <si>
    <t xml:space="preserve">Cel rok 1</t>
  </si>
  <si>
    <t xml:space="preserve">Cel rok 7</t>
  </si>
  <si>
    <t xml:space="preserve">Realizacja rok 1</t>
  </si>
  <si>
    <t xml:space="preserve">Realizacja rok 7</t>
  </si>
  <si>
    <t xml:space="preserve">Wniosek: 300k w roku 1 = ~10 klientów po 30k ACV (osiągalne organicznie). 10 mln rok 7 = ~310 aktywnych klientów,</t>
  </si>
  <si>
    <t xml:space="preserve">co przy churn 30% wymaga ~545 pozyskanych klientów łącznie i ~120 nowych rocznie w stanie ustalonym — bez budżetu marketingowego to główne ryzyko.</t>
  </si>
  <si>
    <t xml:space="preserve">Scenariusz B — Usługi / wdrożenia + maintenance/SLA</t>
  </si>
  <si>
    <t xml:space="preserve">Firma usługowa. Przychód = wdrożenia (fixed-price) + recurring maintenance/SLA. Rośnie liniowo z zespołem.</t>
  </si>
  <si>
    <t xml:space="preserve">Wdrożenia / rok [WEJŚCIE]</t>
  </si>
  <si>
    <t xml:space="preserve">Wartość wdrożenia (zł)</t>
  </si>
  <si>
    <t xml:space="preserve">Przychód z wdrożeń (zł)</t>
  </si>
  <si>
    <t xml:space="preserve">Skumulowane wdrożenia (baza maint.)</t>
  </si>
  <si>
    <t xml:space="preserve">Przychód maintenance/SLA (zł)</t>
  </si>
  <si>
    <t xml:space="preserve">PRZYCHÓD CAŁKOWITY (zł)</t>
  </si>
  <si>
    <t xml:space="preserve">Zysk brutto z usług (zł)</t>
  </si>
  <si>
    <t xml:space="preserve">Potrzebne FTE (delivery)</t>
  </si>
  <si>
    <t xml:space="preserve">Wniosek: 300k rok 1 = 2-3 wdrożenia (realne dla solo + freelancer). Ale 10 mln rok 7 tą ścieżką = ~4,8 mln przy 16 FTE;</t>
  </si>
  <si>
    <t xml:space="preserve">pełne 10 mln usługowo wymaga ~50+ wdrożeń/rok i 25-30+ FTE — sprzeczne z "po godzinach", kapitałem i konfliktem z Ideo.</t>
  </si>
  <si>
    <t xml:space="preserve">Scenariusz H — Hybryda fazowa (usługi finansują produkt → recurring przejmuje)</t>
  </si>
  <si>
    <t xml:space="preserve">Lata 1-3: wdrożenia własnego PIM dają cash + walidację + konta referencyjne. Lata 4-7: SaaS + maintenance dominują.</t>
  </si>
  <si>
    <t xml:space="preserve">USŁUGI — wdrożenia / rok [WEJŚCIE]</t>
  </si>
  <si>
    <t xml:space="preserve">SaaS — nowi klienci (gross adds) [WEJŚCIE]</t>
  </si>
  <si>
    <t xml:space="preserve">Klienci SaaS na początku roku</t>
  </si>
  <si>
    <t xml:space="preserve">Klienci utraceni (churn hybryda)</t>
  </si>
  <si>
    <t xml:space="preserve">Klienci SaaS aktywni (koniec roku)</t>
  </si>
  <si>
    <t xml:space="preserve">Przychód SaaS (zł)</t>
  </si>
  <si>
    <t xml:space="preserve">  w tym recurring (SaaS+maint.)</t>
  </si>
  <si>
    <t xml:space="preserve">  udział recurring</t>
  </si>
  <si>
    <t xml:space="preserve">Potrzebne FTE (delivery usług)</t>
  </si>
  <si>
    <t xml:space="preserve">Wniosek: rok 1 ~575k (usługi dają cash ponad cel 300k). Rok 7 ~10,9 mln, ~93% recurring, przy zaledwie ~4 FTE delivery usług</t>
  </si>
  <si>
    <t xml:space="preserve">+ wsparcie SaaS i freelancerzy (~8-12 FTE łącznie). Usługi karmią lejek kont SaaS. Baza ~315 klientów wciąż wymaga CEE/EU od ~roku 3-4.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</si>
</sst>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zł&quot;;\(#,##0&quot;) zł&quot;;\-"/>
    <numFmt numFmtId="166" formatCode="0.0%"/>
    <numFmt numFmtId="167" formatCode="0.0"/>
    <numFmt numFmtId="168" formatCode="#,##0"/>
    <numFmt numFmtId="169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9"/>
      <color rgb="FF0061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61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5"/>
    <col collapsed="false" customWidth="true" hidden="false" outlineLevel="0" max="7" min="7" style="0" width="5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f aca="false">A_Produkt_SaaS!C10</f>
        <v>300000</v>
      </c>
      <c r="C5" s="6" t="n">
        <f aca="false">A_Produkt_SaaS!C10/Założenia!$B$23</f>
        <v>1</v>
      </c>
      <c r="D5" s="5" t="n">
        <f aca="false">A_Produkt_SaaS!I10</f>
        <v>9307048.2</v>
      </c>
      <c r="E5" s="6" t="n">
        <f aca="false">A_Produkt_SaaS!I10/Założenia!$B$24</f>
        <v>0.93070482</v>
      </c>
      <c r="F5" s="7" t="s">
        <v>10</v>
      </c>
      <c r="G5" s="8" t="s">
        <v>11</v>
      </c>
    </row>
    <row r="6" customFormat="false" ht="15" hidden="false" customHeight="false" outlineLevel="0" collapsed="false">
      <c r="A6" s="4" t="s">
        <v>12</v>
      </c>
      <c r="B6" s="5" t="n">
        <f aca="false">B_Uslugi!C10</f>
        <v>424800</v>
      </c>
      <c r="C6" s="6" t="n">
        <f aca="false">B_Uslugi!C10/Założenia!$B$23</f>
        <v>1.416</v>
      </c>
      <c r="D6" s="5" t="n">
        <f aca="false">B_Uslugi!I10</f>
        <v>4780800</v>
      </c>
      <c r="E6" s="6" t="n">
        <f aca="false">B_Uslugi!I10/Założenia!$B$24</f>
        <v>0.47808</v>
      </c>
      <c r="F6" s="9" t="n">
        <f aca="false">B_Uslugi!I13</f>
        <v>16</v>
      </c>
      <c r="G6" s="8" t="s">
        <v>13</v>
      </c>
    </row>
    <row r="7" customFormat="false" ht="15" hidden="false" customHeight="false" outlineLevel="0" collapsed="false">
      <c r="A7" s="4" t="s">
        <v>14</v>
      </c>
      <c r="B7" s="5" t="n">
        <f aca="false">H_Hybryda!C16</f>
        <v>574800</v>
      </c>
      <c r="C7" s="6" t="n">
        <f aca="false">H_Hybryda!C16/Założenia!$B$23</f>
        <v>1.916</v>
      </c>
      <c r="D7" s="5" t="n">
        <f aca="false">H_Hybryda!I16</f>
        <v>10908684.6679688</v>
      </c>
      <c r="E7" s="6" t="n">
        <f aca="false">H_Hybryda!I16/Założenia!$B$24</f>
        <v>1.09086846679688</v>
      </c>
      <c r="F7" s="7" t="s">
        <v>15</v>
      </c>
      <c r="G7" s="8" t="s">
        <v>16</v>
      </c>
    </row>
    <row r="9" customFormat="false" ht="15" hidden="false" customHeight="false" outlineLevel="0" collapsed="false">
      <c r="A9" s="1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70"/>
  </cols>
  <sheetData>
    <row r="1" customFormat="false" ht="16.1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15" hidden="false" customHeight="false" outlineLevel="0" collapsed="false">
      <c r="A4" s="11" t="s">
        <v>20</v>
      </c>
      <c r="B4" s="12"/>
      <c r="C4" s="12"/>
      <c r="D4" s="12"/>
    </row>
    <row r="5" customFormat="false" ht="15" hidden="false" customHeight="false" outlineLevel="0" collapsed="false">
      <c r="A5" s="13" t="s">
        <v>21</v>
      </c>
      <c r="B5" s="14" t="n">
        <v>4.3</v>
      </c>
      <c r="C5" s="2"/>
      <c r="D5" s="15" t="s">
        <v>22</v>
      </c>
    </row>
    <row r="6" customFormat="false" ht="15" hidden="false" customHeight="false" outlineLevel="0" collapsed="false">
      <c r="A6" s="13" t="s">
        <v>23</v>
      </c>
      <c r="B6" s="14" t="n">
        <v>4</v>
      </c>
      <c r="C6" s="2"/>
      <c r="D6" s="15" t="s">
        <v>22</v>
      </c>
    </row>
    <row r="8" customFormat="false" ht="15" hidden="false" customHeight="false" outlineLevel="0" collapsed="false">
      <c r="A8" s="11" t="s">
        <v>24</v>
      </c>
      <c r="B8" s="12"/>
      <c r="C8" s="12"/>
      <c r="D8" s="12"/>
    </row>
    <row r="9" customFormat="false" ht="15" hidden="false" customHeight="false" outlineLevel="0" collapsed="false">
      <c r="A9" s="13" t="s">
        <v>25</v>
      </c>
      <c r="B9" s="16" t="n">
        <v>30000</v>
      </c>
      <c r="C9" s="2" t="s">
        <v>26</v>
      </c>
      <c r="D9" s="15" t="s">
        <v>27</v>
      </c>
    </row>
    <row r="10" customFormat="false" ht="15" hidden="false" customHeight="false" outlineLevel="0" collapsed="false">
      <c r="A10" s="13" t="s">
        <v>28</v>
      </c>
      <c r="B10" s="16" t="n">
        <v>18000</v>
      </c>
      <c r="C10" s="2" t="s">
        <v>26</v>
      </c>
      <c r="D10" s="15" t="s">
        <v>29</v>
      </c>
    </row>
    <row r="11" customFormat="false" ht="15" hidden="false" customHeight="false" outlineLevel="0" collapsed="false">
      <c r="A11" s="13" t="s">
        <v>30</v>
      </c>
      <c r="B11" s="16" t="n">
        <v>50000</v>
      </c>
      <c r="C11" s="2" t="s">
        <v>26</v>
      </c>
      <c r="D11" s="15" t="s">
        <v>31</v>
      </c>
    </row>
    <row r="12" customFormat="false" ht="15" hidden="false" customHeight="false" outlineLevel="0" collapsed="false">
      <c r="A12" s="13" t="s">
        <v>32</v>
      </c>
      <c r="B12" s="17" t="n">
        <v>0.3</v>
      </c>
      <c r="C12" s="2" t="s">
        <v>33</v>
      </c>
      <c r="D12" s="15" t="s">
        <v>34</v>
      </c>
    </row>
    <row r="13" customFormat="false" ht="15" hidden="false" customHeight="false" outlineLevel="0" collapsed="false">
      <c r="A13" s="13" t="s">
        <v>35</v>
      </c>
      <c r="B13" s="17" t="n">
        <v>0.25</v>
      </c>
      <c r="C13" s="2" t="s">
        <v>33</v>
      </c>
      <c r="D13" s="15" t="s">
        <v>36</v>
      </c>
    </row>
    <row r="15" customFormat="false" ht="15" hidden="false" customHeight="false" outlineLevel="0" collapsed="false">
      <c r="A15" s="11" t="s">
        <v>37</v>
      </c>
      <c r="B15" s="12"/>
      <c r="C15" s="12"/>
      <c r="D15" s="12"/>
    </row>
    <row r="16" customFormat="false" ht="15" hidden="false" customHeight="false" outlineLevel="0" collapsed="false">
      <c r="A16" s="13" t="s">
        <v>38</v>
      </c>
      <c r="B16" s="16" t="n">
        <v>120000</v>
      </c>
      <c r="C16" s="2" t="s">
        <v>26</v>
      </c>
      <c r="D16" s="15" t="s">
        <v>39</v>
      </c>
    </row>
    <row r="17" customFormat="false" ht="15" hidden="false" customHeight="false" outlineLevel="0" collapsed="false">
      <c r="A17" s="13" t="s">
        <v>40</v>
      </c>
      <c r="B17" s="17" t="n">
        <v>0.35</v>
      </c>
      <c r="C17" s="2" t="s">
        <v>33</v>
      </c>
      <c r="D17" s="15" t="s">
        <v>41</v>
      </c>
    </row>
    <row r="18" customFormat="false" ht="15" hidden="false" customHeight="false" outlineLevel="0" collapsed="false">
      <c r="A18" s="13" t="s">
        <v>42</v>
      </c>
      <c r="B18" s="17" t="n">
        <v>0.18</v>
      </c>
      <c r="C18" s="2" t="s">
        <v>33</v>
      </c>
      <c r="D18" s="15" t="s">
        <v>43</v>
      </c>
    </row>
    <row r="19" customFormat="false" ht="15" hidden="false" customHeight="false" outlineLevel="0" collapsed="false">
      <c r="A19" s="13" t="s">
        <v>44</v>
      </c>
      <c r="B19" s="14" t="n">
        <v>150</v>
      </c>
      <c r="C19" s="2" t="s">
        <v>45</v>
      </c>
      <c r="D19" s="15" t="s">
        <v>46</v>
      </c>
    </row>
    <row r="20" customFormat="false" ht="15" hidden="false" customHeight="false" outlineLevel="0" collapsed="false">
      <c r="A20" s="13" t="s">
        <v>47</v>
      </c>
      <c r="B20" s="14" t="n">
        <v>100</v>
      </c>
      <c r="C20" s="2" t="s">
        <v>45</v>
      </c>
      <c r="D20" s="15" t="s">
        <v>48</v>
      </c>
    </row>
    <row r="22" customFormat="false" ht="15" hidden="false" customHeight="false" outlineLevel="0" collapsed="false">
      <c r="A22" s="11" t="s">
        <v>49</v>
      </c>
      <c r="B22" s="12"/>
      <c r="C22" s="12"/>
      <c r="D22" s="12"/>
    </row>
    <row r="23" customFormat="false" ht="15" hidden="false" customHeight="false" outlineLevel="0" collapsed="false">
      <c r="A23" s="13" t="s">
        <v>50</v>
      </c>
      <c r="B23" s="16" t="n">
        <v>300000</v>
      </c>
      <c r="C23" s="2" t="s">
        <v>26</v>
      </c>
      <c r="D23" s="15" t="s">
        <v>51</v>
      </c>
    </row>
    <row r="24" customFormat="false" ht="15" hidden="false" customHeight="false" outlineLevel="0" collapsed="false">
      <c r="A24" s="13" t="s">
        <v>52</v>
      </c>
      <c r="B24" s="16" t="n">
        <v>10000000</v>
      </c>
      <c r="C24" s="2" t="s">
        <v>26</v>
      </c>
      <c r="D24" s="15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3" style="0" width="13"/>
  </cols>
  <sheetData>
    <row r="1" customFormat="false" ht="16.1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18" t="s">
        <v>55</v>
      </c>
      <c r="C4" s="19" t="s">
        <v>56</v>
      </c>
      <c r="D4" s="19" t="s">
        <v>57</v>
      </c>
      <c r="E4" s="19" t="s">
        <v>58</v>
      </c>
      <c r="F4" s="19" t="s">
        <v>59</v>
      </c>
      <c r="G4" s="19" t="s">
        <v>60</v>
      </c>
      <c r="H4" s="19" t="s">
        <v>61</v>
      </c>
      <c r="I4" s="19" t="s">
        <v>62</v>
      </c>
    </row>
    <row r="5" customFormat="false" ht="15" hidden="false" customHeight="false" outlineLevel="0" collapsed="false">
      <c r="A5" s="13" t="s">
        <v>63</v>
      </c>
      <c r="C5" s="20" t="n">
        <v>10</v>
      </c>
      <c r="D5" s="20" t="n">
        <v>35</v>
      </c>
      <c r="E5" s="20" t="n">
        <v>60</v>
      </c>
      <c r="F5" s="20" t="n">
        <v>90</v>
      </c>
      <c r="G5" s="20" t="n">
        <v>110</v>
      </c>
      <c r="H5" s="20" t="n">
        <v>120</v>
      </c>
      <c r="I5" s="20" t="n">
        <v>120</v>
      </c>
    </row>
    <row r="6" customFormat="false" ht="15" hidden="false" customHeight="false" outlineLevel="0" collapsed="false">
      <c r="A6" s="13" t="s">
        <v>64</v>
      </c>
      <c r="C6" s="21" t="n">
        <v>0</v>
      </c>
      <c r="D6" s="21" t="n">
        <f aca="false">C8</f>
        <v>10</v>
      </c>
      <c r="E6" s="21" t="n">
        <f aca="false">D8</f>
        <v>42</v>
      </c>
      <c r="F6" s="21" t="n">
        <f aca="false">E8</f>
        <v>89.4</v>
      </c>
      <c r="G6" s="21" t="n">
        <f aca="false">F8</f>
        <v>152.58</v>
      </c>
      <c r="H6" s="21" t="n">
        <f aca="false">G8</f>
        <v>216.806</v>
      </c>
      <c r="I6" s="21" t="n">
        <f aca="false">H8</f>
        <v>271.7642</v>
      </c>
    </row>
    <row r="7" customFormat="false" ht="15" hidden="false" customHeight="false" outlineLevel="0" collapsed="false">
      <c r="A7" s="13" t="s">
        <v>65</v>
      </c>
      <c r="C7" s="21" t="n">
        <f aca="false">C6*Założenia!$B$12</f>
        <v>0</v>
      </c>
      <c r="D7" s="21" t="n">
        <f aca="false">D6*Założenia!$B$12</f>
        <v>3</v>
      </c>
      <c r="E7" s="21" t="n">
        <f aca="false">E6*Założenia!$B$12</f>
        <v>12.6</v>
      </c>
      <c r="F7" s="21" t="n">
        <f aca="false">F6*Założenia!$B$12</f>
        <v>26.82</v>
      </c>
      <c r="G7" s="21" t="n">
        <f aca="false">G6*Założenia!$B$12</f>
        <v>45.774</v>
      </c>
      <c r="H7" s="21" t="n">
        <f aca="false">H6*Założenia!$B$12</f>
        <v>65.0418</v>
      </c>
      <c r="I7" s="21" t="n">
        <f aca="false">I6*Założenia!$B$12</f>
        <v>81.52926</v>
      </c>
    </row>
    <row r="8" customFormat="false" ht="15" hidden="false" customHeight="false" outlineLevel="0" collapsed="false">
      <c r="A8" s="10" t="s">
        <v>66</v>
      </c>
      <c r="C8" s="21" t="n">
        <f aca="false">C6-C7+C5</f>
        <v>10</v>
      </c>
      <c r="D8" s="21" t="n">
        <f aca="false">D6-D7+D5</f>
        <v>42</v>
      </c>
      <c r="E8" s="21" t="n">
        <f aca="false">E6-E7+E5</f>
        <v>89.4</v>
      </c>
      <c r="F8" s="21" t="n">
        <f aca="false">F6-F7+F5</f>
        <v>152.58</v>
      </c>
      <c r="G8" s="21" t="n">
        <f aca="false">G6-G7+G5</f>
        <v>216.806</v>
      </c>
      <c r="H8" s="21" t="n">
        <f aca="false">H6-H7+H5</f>
        <v>271.7642</v>
      </c>
      <c r="I8" s="21" t="n">
        <f aca="false">I6-I7+I5</f>
        <v>310.23494</v>
      </c>
    </row>
    <row r="9" customFormat="false" ht="15" hidden="false" customHeight="false" outlineLevel="0" collapsed="false">
      <c r="A9" s="13" t="s">
        <v>67</v>
      </c>
      <c r="C9" s="22" t="n">
        <f aca="false">Założenia!$B$9</f>
        <v>30000</v>
      </c>
      <c r="D9" s="22" t="n">
        <f aca="false">Założenia!$B$9</f>
        <v>30000</v>
      </c>
      <c r="E9" s="22" t="n">
        <f aca="false">Założenia!$B$9</f>
        <v>30000</v>
      </c>
      <c r="F9" s="22" t="n">
        <f aca="false">Założenia!$B$9</f>
        <v>30000</v>
      </c>
      <c r="G9" s="22" t="n">
        <f aca="false">Założenia!$B$9</f>
        <v>30000</v>
      </c>
      <c r="H9" s="22" t="n">
        <f aca="false">Założenia!$B$9</f>
        <v>30000</v>
      </c>
      <c r="I9" s="22" t="n">
        <f aca="false">Założenia!$B$9</f>
        <v>30000</v>
      </c>
    </row>
    <row r="10" customFormat="false" ht="15" hidden="false" customHeight="false" outlineLevel="0" collapsed="false">
      <c r="A10" s="23" t="s">
        <v>68</v>
      </c>
      <c r="C10" s="24" t="n">
        <f aca="false">C8*C9</f>
        <v>300000</v>
      </c>
      <c r="D10" s="24" t="n">
        <f aca="false">D8*D9</f>
        <v>1260000</v>
      </c>
      <c r="E10" s="24" t="n">
        <f aca="false">E8*E9</f>
        <v>2682000</v>
      </c>
      <c r="F10" s="24" t="n">
        <f aca="false">F8*F9</f>
        <v>4577400</v>
      </c>
      <c r="G10" s="24" t="n">
        <f aca="false">G8*G9</f>
        <v>6504180</v>
      </c>
      <c r="H10" s="24" t="n">
        <f aca="false">H8*H9</f>
        <v>8152926</v>
      </c>
      <c r="I10" s="24" t="n">
        <f aca="false">I8*I9</f>
        <v>9307048.2</v>
      </c>
    </row>
    <row r="11" customFormat="false" ht="15" hidden="false" customHeight="false" outlineLevel="0" collapsed="false">
      <c r="A11" s="13" t="s">
        <v>69</v>
      </c>
      <c r="C11" s="21" t="n">
        <f aca="false">C5</f>
        <v>10</v>
      </c>
      <c r="D11" s="21" t="n">
        <f aca="false">C11+D5</f>
        <v>45</v>
      </c>
      <c r="E11" s="21" t="n">
        <f aca="false">D11+E5</f>
        <v>105</v>
      </c>
      <c r="F11" s="21" t="n">
        <f aca="false">E11+F5</f>
        <v>195</v>
      </c>
      <c r="G11" s="21" t="n">
        <f aca="false">F11+G5</f>
        <v>305</v>
      </c>
      <c r="H11" s="21" t="n">
        <f aca="false">G11+H5</f>
        <v>425</v>
      </c>
      <c r="I11" s="21" t="n">
        <f aca="false">H11+I5</f>
        <v>545</v>
      </c>
    </row>
    <row r="13" customFormat="false" ht="15" hidden="false" customHeight="false" outlineLevel="0" collapsed="false">
      <c r="A13" s="10" t="s">
        <v>70</v>
      </c>
      <c r="C13" s="22" t="n">
        <f aca="false">Założenia!$B$23</f>
        <v>300000</v>
      </c>
    </row>
    <row r="14" customFormat="false" ht="15" hidden="false" customHeight="false" outlineLevel="0" collapsed="false">
      <c r="A14" s="10" t="s">
        <v>71</v>
      </c>
      <c r="C14" s="22" t="n">
        <f aca="false">Założenia!$B$24</f>
        <v>10000000</v>
      </c>
    </row>
    <row r="15" customFormat="false" ht="15" hidden="false" customHeight="false" outlineLevel="0" collapsed="false">
      <c r="A15" s="10" t="s">
        <v>72</v>
      </c>
      <c r="C15" s="25" t="n">
        <f aca="false">C10/C13</f>
        <v>1</v>
      </c>
    </row>
    <row r="16" customFormat="false" ht="15" hidden="false" customHeight="false" outlineLevel="0" collapsed="false">
      <c r="A16" s="10" t="s">
        <v>73</v>
      </c>
      <c r="C16" s="25" t="n">
        <f aca="false">I10/C14</f>
        <v>0.93070482</v>
      </c>
    </row>
    <row r="18" customFormat="false" ht="15" hidden="false" customHeight="false" outlineLevel="0" collapsed="false">
      <c r="A18" s="26" t="s">
        <v>74</v>
      </c>
    </row>
    <row r="19" customFormat="false" ht="15" hidden="false" customHeight="false" outlineLevel="0" collapsed="false">
      <c r="A19" s="26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3" style="0" width="13"/>
  </cols>
  <sheetData>
    <row r="1" customFormat="false" ht="16.1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15" hidden="false" customHeight="false" outlineLevel="0" collapsed="false">
      <c r="A4" s="18" t="s">
        <v>55</v>
      </c>
      <c r="C4" s="19" t="s">
        <v>56</v>
      </c>
      <c r="D4" s="19" t="s">
        <v>57</v>
      </c>
      <c r="E4" s="19" t="s">
        <v>58</v>
      </c>
      <c r="F4" s="19" t="s">
        <v>59</v>
      </c>
      <c r="G4" s="19" t="s">
        <v>60</v>
      </c>
      <c r="H4" s="19" t="s">
        <v>61</v>
      </c>
      <c r="I4" s="19" t="s">
        <v>62</v>
      </c>
    </row>
    <row r="5" customFormat="false" ht="15" hidden="false" customHeight="false" outlineLevel="0" collapsed="false">
      <c r="A5" s="13" t="s">
        <v>78</v>
      </c>
      <c r="C5" s="20" t="n">
        <v>3</v>
      </c>
      <c r="D5" s="20" t="n">
        <v>5</v>
      </c>
      <c r="E5" s="20" t="n">
        <v>8</v>
      </c>
      <c r="F5" s="20" t="n">
        <v>12</v>
      </c>
      <c r="G5" s="20" t="n">
        <v>16</v>
      </c>
      <c r="H5" s="20" t="n">
        <v>20</v>
      </c>
      <c r="I5" s="20" t="n">
        <v>24</v>
      </c>
    </row>
    <row r="6" customFormat="false" ht="15" hidden="false" customHeight="false" outlineLevel="0" collapsed="false">
      <c r="A6" s="13" t="s">
        <v>79</v>
      </c>
      <c r="C6" s="22" t="n">
        <f aca="false">Założenia!$B$16</f>
        <v>120000</v>
      </c>
      <c r="D6" s="22" t="n">
        <f aca="false">Założenia!$B$16</f>
        <v>120000</v>
      </c>
      <c r="E6" s="22" t="n">
        <f aca="false">Założenia!$B$16</f>
        <v>120000</v>
      </c>
      <c r="F6" s="22" t="n">
        <f aca="false">Założenia!$B$16</f>
        <v>120000</v>
      </c>
      <c r="G6" s="22" t="n">
        <f aca="false">Założenia!$B$16</f>
        <v>120000</v>
      </c>
      <c r="H6" s="22" t="n">
        <f aca="false">Założenia!$B$16</f>
        <v>120000</v>
      </c>
      <c r="I6" s="22" t="n">
        <f aca="false">Założenia!$B$16</f>
        <v>120000</v>
      </c>
    </row>
    <row r="7" customFormat="false" ht="15" hidden="false" customHeight="false" outlineLevel="0" collapsed="false">
      <c r="A7" s="10" t="s">
        <v>80</v>
      </c>
      <c r="C7" s="24" t="n">
        <f aca="false">C5*C6</f>
        <v>360000</v>
      </c>
      <c r="D7" s="24" t="n">
        <f aca="false">D5*D6</f>
        <v>600000</v>
      </c>
      <c r="E7" s="24" t="n">
        <f aca="false">E5*E6</f>
        <v>960000</v>
      </c>
      <c r="F7" s="24" t="n">
        <f aca="false">F5*F6</f>
        <v>1440000</v>
      </c>
      <c r="G7" s="24" t="n">
        <f aca="false">G5*G6</f>
        <v>1920000</v>
      </c>
      <c r="H7" s="24" t="n">
        <f aca="false">H5*H6</f>
        <v>2400000</v>
      </c>
      <c r="I7" s="24" t="n">
        <f aca="false">I5*I6</f>
        <v>2880000</v>
      </c>
    </row>
    <row r="8" customFormat="false" ht="15" hidden="false" customHeight="false" outlineLevel="0" collapsed="false">
      <c r="A8" s="13" t="s">
        <v>81</v>
      </c>
      <c r="C8" s="21" t="n">
        <f aca="false">C5</f>
        <v>3</v>
      </c>
      <c r="D8" s="21" t="n">
        <f aca="false">C8+D5</f>
        <v>8</v>
      </c>
      <c r="E8" s="21" t="n">
        <f aca="false">D8+E5</f>
        <v>16</v>
      </c>
      <c r="F8" s="21" t="n">
        <f aca="false">E8+F5</f>
        <v>28</v>
      </c>
      <c r="G8" s="21" t="n">
        <f aca="false">F8+G5</f>
        <v>44</v>
      </c>
      <c r="H8" s="21" t="n">
        <f aca="false">G8+H5</f>
        <v>64</v>
      </c>
      <c r="I8" s="21" t="n">
        <f aca="false">H8+I5</f>
        <v>88</v>
      </c>
    </row>
    <row r="9" customFormat="false" ht="15" hidden="false" customHeight="false" outlineLevel="0" collapsed="false">
      <c r="A9" s="10" t="s">
        <v>82</v>
      </c>
      <c r="C9" s="24" t="n">
        <f aca="false">C8*Założenia!$B$16*Założenia!$B$18</f>
        <v>64800</v>
      </c>
      <c r="D9" s="24" t="n">
        <f aca="false">D8*Założenia!$B$16*Założenia!$B$18</f>
        <v>172800</v>
      </c>
      <c r="E9" s="24" t="n">
        <f aca="false">E8*Założenia!$B$16*Założenia!$B$18</f>
        <v>345600</v>
      </c>
      <c r="F9" s="24" t="n">
        <f aca="false">F8*Założenia!$B$16*Założenia!$B$18</f>
        <v>604800</v>
      </c>
      <c r="G9" s="24" t="n">
        <f aca="false">G8*Założenia!$B$16*Założenia!$B$18</f>
        <v>950400</v>
      </c>
      <c r="H9" s="24" t="n">
        <f aca="false">H8*Założenia!$B$16*Założenia!$B$18</f>
        <v>1382400</v>
      </c>
      <c r="I9" s="24" t="n">
        <f aca="false">I8*Założenia!$B$16*Założenia!$B$18</f>
        <v>1900800</v>
      </c>
    </row>
    <row r="10" customFormat="false" ht="15" hidden="false" customHeight="false" outlineLevel="0" collapsed="false">
      <c r="A10" s="23" t="s">
        <v>83</v>
      </c>
      <c r="C10" s="24" t="n">
        <f aca="false">C7+C9</f>
        <v>424800</v>
      </c>
      <c r="D10" s="24" t="n">
        <f aca="false">D7+D9</f>
        <v>772800</v>
      </c>
      <c r="E10" s="24" t="n">
        <f aca="false">E7+E9</f>
        <v>1305600</v>
      </c>
      <c r="F10" s="24" t="n">
        <f aca="false">F7+F9</f>
        <v>2044800</v>
      </c>
      <c r="G10" s="24" t="n">
        <f aca="false">G7+G9</f>
        <v>2870400</v>
      </c>
      <c r="H10" s="24" t="n">
        <f aca="false">H7+H9</f>
        <v>3782400</v>
      </c>
      <c r="I10" s="24" t="n">
        <f aca="false">I7+I9</f>
        <v>4780800</v>
      </c>
    </row>
    <row r="11" customFormat="false" ht="15" hidden="false" customHeight="false" outlineLevel="0" collapsed="false">
      <c r="A11" s="13" t="s">
        <v>84</v>
      </c>
      <c r="C11" s="27" t="n">
        <f aca="false">C7*Założenia!$B$17+C9*0.6</f>
        <v>164880</v>
      </c>
      <c r="D11" s="27" t="n">
        <f aca="false">D7*Założenia!$B$17+D9*0.6</f>
        <v>313680</v>
      </c>
      <c r="E11" s="27" t="n">
        <f aca="false">E7*Założenia!$B$17+E9*0.6</f>
        <v>543360</v>
      </c>
      <c r="F11" s="27" t="n">
        <f aca="false">F7*Założenia!$B$17+F9*0.6</f>
        <v>866880</v>
      </c>
      <c r="G11" s="27" t="n">
        <f aca="false">G7*Założenia!$B$17+G9*0.6</f>
        <v>1242240</v>
      </c>
      <c r="H11" s="27" t="n">
        <f aca="false">H7*Założenia!$B$17+H9*0.6</f>
        <v>1669440</v>
      </c>
      <c r="I11" s="27" t="n">
        <f aca="false">I7*Założenia!$B$17+I9*0.6</f>
        <v>2148480</v>
      </c>
    </row>
    <row r="13" customFormat="false" ht="15" hidden="false" customHeight="false" outlineLevel="0" collapsed="false">
      <c r="A13" s="10" t="s">
        <v>85</v>
      </c>
      <c r="C13" s="28" t="n">
        <f aca="false">C5*Założenia!$B$20/Założenia!$B$19</f>
        <v>2</v>
      </c>
      <c r="D13" s="28" t="n">
        <f aca="false">D5*Założenia!$B$20/Założenia!$B$19</f>
        <v>3.33333333333333</v>
      </c>
      <c r="E13" s="28" t="n">
        <f aca="false">E5*Założenia!$B$20/Założenia!$B$19</f>
        <v>5.33333333333333</v>
      </c>
      <c r="F13" s="28" t="n">
        <f aca="false">F5*Założenia!$B$20/Założenia!$B$19</f>
        <v>8</v>
      </c>
      <c r="G13" s="28" t="n">
        <f aca="false">G5*Założenia!$B$20/Założenia!$B$19</f>
        <v>10.6666666666667</v>
      </c>
      <c r="H13" s="28" t="n">
        <f aca="false">H5*Założenia!$B$20/Założenia!$B$19</f>
        <v>13.3333333333333</v>
      </c>
      <c r="I13" s="28" t="n">
        <f aca="false">I5*Założenia!$B$20/Założenia!$B$19</f>
        <v>16</v>
      </c>
    </row>
    <row r="15" customFormat="false" ht="15" hidden="false" customHeight="false" outlineLevel="0" collapsed="false">
      <c r="A15" s="10" t="s">
        <v>70</v>
      </c>
      <c r="C15" s="22" t="n">
        <f aca="false">Założenia!$B$23</f>
        <v>300000</v>
      </c>
    </row>
    <row r="16" customFormat="false" ht="15" hidden="false" customHeight="false" outlineLevel="0" collapsed="false">
      <c r="A16" s="10" t="s">
        <v>71</v>
      </c>
      <c r="C16" s="22" t="n">
        <f aca="false">Założenia!$B$24</f>
        <v>10000000</v>
      </c>
    </row>
    <row r="17" customFormat="false" ht="15" hidden="false" customHeight="false" outlineLevel="0" collapsed="false">
      <c r="A17" s="10" t="s">
        <v>72</v>
      </c>
      <c r="C17" s="25" t="n">
        <f aca="false">C10/C15</f>
        <v>1.416</v>
      </c>
    </row>
    <row r="18" customFormat="false" ht="15" hidden="false" customHeight="false" outlineLevel="0" collapsed="false">
      <c r="A18" s="10" t="s">
        <v>73</v>
      </c>
      <c r="C18" s="25" t="n">
        <f aca="false">I10/C16</f>
        <v>0.47808</v>
      </c>
    </row>
    <row r="20" customFormat="false" ht="15" hidden="false" customHeight="false" outlineLevel="0" collapsed="false">
      <c r="A20" s="26" t="s">
        <v>86</v>
      </c>
    </row>
    <row r="21" customFormat="false" ht="15" hidden="false" customHeight="false" outlineLevel="0" collapsed="false">
      <c r="A21" s="26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3" style="0" width="13"/>
  </cols>
  <sheetData>
    <row r="1" customFormat="false" ht="16.15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89</v>
      </c>
    </row>
    <row r="4" customFormat="false" ht="15" hidden="false" customHeight="false" outlineLevel="0" collapsed="false">
      <c r="A4" s="18" t="s">
        <v>55</v>
      </c>
      <c r="C4" s="19" t="s">
        <v>56</v>
      </c>
      <c r="D4" s="19" t="s">
        <v>57</v>
      </c>
      <c r="E4" s="19" t="s">
        <v>58</v>
      </c>
      <c r="F4" s="19" t="s">
        <v>59</v>
      </c>
      <c r="G4" s="19" t="s">
        <v>60</v>
      </c>
      <c r="H4" s="19" t="s">
        <v>61</v>
      </c>
      <c r="I4" s="19" t="s">
        <v>62</v>
      </c>
    </row>
    <row r="5" customFormat="false" ht="15" hidden="false" customHeight="false" outlineLevel="0" collapsed="false">
      <c r="A5" s="10" t="s">
        <v>90</v>
      </c>
      <c r="C5" s="20" t="n">
        <v>3</v>
      </c>
      <c r="D5" s="20" t="n">
        <v>4</v>
      </c>
      <c r="E5" s="20" t="n">
        <v>5</v>
      </c>
      <c r="F5" s="20" t="n">
        <v>5</v>
      </c>
      <c r="G5" s="20" t="n">
        <v>5</v>
      </c>
      <c r="H5" s="20" t="n">
        <v>6</v>
      </c>
      <c r="I5" s="20" t="n">
        <v>6</v>
      </c>
    </row>
    <row r="6" customFormat="false" ht="15" hidden="false" customHeight="false" outlineLevel="0" collapsed="false">
      <c r="A6" s="13" t="s">
        <v>80</v>
      </c>
      <c r="C6" s="27" t="n">
        <f aca="false">C5*Założenia!$B$16</f>
        <v>360000</v>
      </c>
      <c r="D6" s="27" t="n">
        <f aca="false">D5*Założenia!$B$16</f>
        <v>480000</v>
      </c>
      <c r="E6" s="27" t="n">
        <f aca="false">E5*Założenia!$B$16</f>
        <v>600000</v>
      </c>
      <c r="F6" s="27" t="n">
        <f aca="false">F5*Założenia!$B$16</f>
        <v>600000</v>
      </c>
      <c r="G6" s="27" t="n">
        <f aca="false">G5*Założenia!$B$16</f>
        <v>600000</v>
      </c>
      <c r="H6" s="27" t="n">
        <f aca="false">H5*Założenia!$B$16</f>
        <v>720000</v>
      </c>
      <c r="I6" s="27" t="n">
        <f aca="false">I5*Założenia!$B$16</f>
        <v>720000</v>
      </c>
    </row>
    <row r="7" customFormat="false" ht="15" hidden="false" customHeight="false" outlineLevel="0" collapsed="false">
      <c r="A7" s="13" t="s">
        <v>81</v>
      </c>
      <c r="C7" s="21" t="n">
        <f aca="false">C5</f>
        <v>3</v>
      </c>
      <c r="D7" s="21" t="n">
        <f aca="false">C7+D5</f>
        <v>7</v>
      </c>
      <c r="E7" s="21" t="n">
        <f aca="false">D7+E5</f>
        <v>12</v>
      </c>
      <c r="F7" s="21" t="n">
        <f aca="false">E7+F5</f>
        <v>17</v>
      </c>
      <c r="G7" s="21" t="n">
        <f aca="false">F7+G5</f>
        <v>22</v>
      </c>
      <c r="H7" s="21" t="n">
        <f aca="false">G7+H5</f>
        <v>28</v>
      </c>
      <c r="I7" s="21" t="n">
        <f aca="false">H7+I5</f>
        <v>34</v>
      </c>
    </row>
    <row r="8" customFormat="false" ht="15" hidden="false" customHeight="false" outlineLevel="0" collapsed="false">
      <c r="A8" s="13" t="s">
        <v>82</v>
      </c>
      <c r="C8" s="27" t="n">
        <f aca="false">C7*Założenia!$B$16*Założenia!$B$18</f>
        <v>64800</v>
      </c>
      <c r="D8" s="27" t="n">
        <f aca="false">D7*Założenia!$B$16*Założenia!$B$18</f>
        <v>151200</v>
      </c>
      <c r="E8" s="27" t="n">
        <f aca="false">E7*Założenia!$B$16*Założenia!$B$18</f>
        <v>259200</v>
      </c>
      <c r="F8" s="27" t="n">
        <f aca="false">F7*Założenia!$B$16*Założenia!$B$18</f>
        <v>367200</v>
      </c>
      <c r="G8" s="27" t="n">
        <f aca="false">G7*Założenia!$B$16*Założenia!$B$18</f>
        <v>475200</v>
      </c>
      <c r="H8" s="27" t="n">
        <f aca="false">H7*Założenia!$B$16*Założenia!$B$18</f>
        <v>604800</v>
      </c>
      <c r="I8" s="27" t="n">
        <f aca="false">I7*Założenia!$B$16*Założenia!$B$18</f>
        <v>734400</v>
      </c>
    </row>
    <row r="10" customFormat="false" ht="15" hidden="false" customHeight="false" outlineLevel="0" collapsed="false">
      <c r="A10" s="10" t="s">
        <v>91</v>
      </c>
      <c r="C10" s="20" t="n">
        <v>5</v>
      </c>
      <c r="D10" s="20" t="n">
        <v>25</v>
      </c>
      <c r="E10" s="20" t="n">
        <v>50</v>
      </c>
      <c r="F10" s="20" t="n">
        <v>80</v>
      </c>
      <c r="G10" s="20" t="n">
        <v>100</v>
      </c>
      <c r="H10" s="20" t="n">
        <v>110</v>
      </c>
      <c r="I10" s="20" t="n">
        <v>120</v>
      </c>
    </row>
    <row r="11" customFormat="false" ht="15" hidden="false" customHeight="false" outlineLevel="0" collapsed="false">
      <c r="A11" s="13" t="s">
        <v>92</v>
      </c>
      <c r="C11" s="21" t="n">
        <v>0</v>
      </c>
      <c r="D11" s="21" t="n">
        <f aca="false">C13</f>
        <v>5</v>
      </c>
      <c r="E11" s="21" t="n">
        <f aca="false">D13</f>
        <v>28.75</v>
      </c>
      <c r="F11" s="21" t="n">
        <f aca="false">E13</f>
        <v>71.5625</v>
      </c>
      <c r="G11" s="21" t="n">
        <f aca="false">F13</f>
        <v>133.671875</v>
      </c>
      <c r="H11" s="21" t="n">
        <f aca="false">G13</f>
        <v>200.25390625</v>
      </c>
      <c r="I11" s="21" t="n">
        <f aca="false">H13</f>
        <v>260.1904296875</v>
      </c>
    </row>
    <row r="12" customFormat="false" ht="15" hidden="false" customHeight="false" outlineLevel="0" collapsed="false">
      <c r="A12" s="13" t="s">
        <v>93</v>
      </c>
      <c r="C12" s="21" t="n">
        <f aca="false">C11*Założenia!$B$13</f>
        <v>0</v>
      </c>
      <c r="D12" s="21" t="n">
        <f aca="false">D11*Założenia!$B$13</f>
        <v>1.25</v>
      </c>
      <c r="E12" s="21" t="n">
        <f aca="false">E11*Założenia!$B$13</f>
        <v>7.1875</v>
      </c>
      <c r="F12" s="21" t="n">
        <f aca="false">F11*Założenia!$B$13</f>
        <v>17.890625</v>
      </c>
      <c r="G12" s="21" t="n">
        <f aca="false">G11*Założenia!$B$13</f>
        <v>33.41796875</v>
      </c>
      <c r="H12" s="21" t="n">
        <f aca="false">H11*Założenia!$B$13</f>
        <v>50.0634765625</v>
      </c>
      <c r="I12" s="21" t="n">
        <f aca="false">I11*Założenia!$B$13</f>
        <v>65.047607421875</v>
      </c>
    </row>
    <row r="13" customFormat="false" ht="15" hidden="false" customHeight="false" outlineLevel="0" collapsed="false">
      <c r="A13" s="10" t="s">
        <v>94</v>
      </c>
      <c r="C13" s="29" t="n">
        <f aca="false">C11-C12+C10</f>
        <v>5</v>
      </c>
      <c r="D13" s="29" t="n">
        <f aca="false">D11-D12+D10</f>
        <v>28.75</v>
      </c>
      <c r="E13" s="29" t="n">
        <f aca="false">E11-E12+E10</f>
        <v>71.5625</v>
      </c>
      <c r="F13" s="29" t="n">
        <f aca="false">F11-F12+F10</f>
        <v>133.671875</v>
      </c>
      <c r="G13" s="29" t="n">
        <f aca="false">G11-G12+G10</f>
        <v>200.25390625</v>
      </c>
      <c r="H13" s="29" t="n">
        <f aca="false">H11-H12+H10</f>
        <v>260.1904296875</v>
      </c>
      <c r="I13" s="29" t="n">
        <f aca="false">I11-I12+I10</f>
        <v>315.142822265625</v>
      </c>
    </row>
    <row r="14" customFormat="false" ht="15" hidden="false" customHeight="false" outlineLevel="0" collapsed="false">
      <c r="A14" s="13" t="s">
        <v>95</v>
      </c>
      <c r="C14" s="27" t="n">
        <f aca="false">C13*Założenia!$B$9</f>
        <v>150000</v>
      </c>
      <c r="D14" s="27" t="n">
        <f aca="false">D13*Założenia!$B$9</f>
        <v>862500</v>
      </c>
      <c r="E14" s="27" t="n">
        <f aca="false">E13*Założenia!$B$9</f>
        <v>2146875</v>
      </c>
      <c r="F14" s="27" t="n">
        <f aca="false">F13*Założenia!$B$9</f>
        <v>4010156.25</v>
      </c>
      <c r="G14" s="27" t="n">
        <f aca="false">G13*Założenia!$B$9</f>
        <v>6007617.1875</v>
      </c>
      <c r="H14" s="27" t="n">
        <f aca="false">H13*Założenia!$B$9</f>
        <v>7805712.890625</v>
      </c>
      <c r="I14" s="27" t="n">
        <f aca="false">I13*Założenia!$B$9</f>
        <v>9454284.66796875</v>
      </c>
    </row>
    <row r="16" customFormat="false" ht="15" hidden="false" customHeight="false" outlineLevel="0" collapsed="false">
      <c r="A16" s="23" t="s">
        <v>83</v>
      </c>
      <c r="C16" s="24" t="n">
        <f aca="false">C6+C8+C14</f>
        <v>574800</v>
      </c>
      <c r="D16" s="24" t="n">
        <f aca="false">D6+D8+D14</f>
        <v>1493700</v>
      </c>
      <c r="E16" s="24" t="n">
        <f aca="false">E6+E8+E14</f>
        <v>3006075</v>
      </c>
      <c r="F16" s="24" t="n">
        <f aca="false">F6+F8+F14</f>
        <v>4977356.25</v>
      </c>
      <c r="G16" s="24" t="n">
        <f aca="false">G6+G8+G14</f>
        <v>7082817.1875</v>
      </c>
      <c r="H16" s="24" t="n">
        <f aca="false">H6+H8+H14</f>
        <v>9130512.890625</v>
      </c>
      <c r="I16" s="24" t="n">
        <f aca="false">I6+I8+I14</f>
        <v>10908684.6679688</v>
      </c>
    </row>
    <row r="17" customFormat="false" ht="15" hidden="false" customHeight="false" outlineLevel="0" collapsed="false">
      <c r="A17" s="13" t="s">
        <v>96</v>
      </c>
      <c r="C17" s="27" t="n">
        <f aca="false">C8+C14</f>
        <v>214800</v>
      </c>
      <c r="D17" s="27" t="n">
        <f aca="false">D8+D14</f>
        <v>1013700</v>
      </c>
      <c r="E17" s="27" t="n">
        <f aca="false">E8+E14</f>
        <v>2406075</v>
      </c>
      <c r="F17" s="27" t="n">
        <f aca="false">F8+F14</f>
        <v>4377356.25</v>
      </c>
      <c r="G17" s="27" t="n">
        <f aca="false">G8+G14</f>
        <v>6482817.1875</v>
      </c>
      <c r="H17" s="27" t="n">
        <f aca="false">H8+H14</f>
        <v>8410512.890625</v>
      </c>
      <c r="I17" s="27" t="n">
        <f aca="false">I8+I14</f>
        <v>10188684.6679688</v>
      </c>
    </row>
    <row r="18" customFormat="false" ht="15" hidden="false" customHeight="false" outlineLevel="0" collapsed="false">
      <c r="A18" s="10" t="s">
        <v>97</v>
      </c>
      <c r="C18" s="30" t="n">
        <f aca="false">C17/C16</f>
        <v>0.373695198329854</v>
      </c>
      <c r="D18" s="30" t="n">
        <f aca="false">D17/D16</f>
        <v>0.678650331391846</v>
      </c>
      <c r="E18" s="30" t="n">
        <f aca="false">E17/E16</f>
        <v>0.800404181532397</v>
      </c>
      <c r="F18" s="30" t="n">
        <f aca="false">F17/F16</f>
        <v>0.879454077654176</v>
      </c>
      <c r="G18" s="30" t="n">
        <f aca="false">G17/G16</f>
        <v>0.915287944878925</v>
      </c>
      <c r="H18" s="30" t="n">
        <f aca="false">H17/H16</f>
        <v>0.921143531735301</v>
      </c>
      <c r="I18" s="30" t="n">
        <f aca="false">I17/I16</f>
        <v>0.933997542149684</v>
      </c>
    </row>
    <row r="20" customFormat="false" ht="15" hidden="false" customHeight="false" outlineLevel="0" collapsed="false">
      <c r="A20" s="13" t="s">
        <v>98</v>
      </c>
      <c r="C20" s="28" t="n">
        <f aca="false">C5*Założenia!$B$20/Założenia!$B$19</f>
        <v>2</v>
      </c>
      <c r="D20" s="28" t="n">
        <f aca="false">D5*Założenia!$B$20/Założenia!$B$19</f>
        <v>2.66666666666667</v>
      </c>
      <c r="E20" s="28" t="n">
        <f aca="false">E5*Założenia!$B$20/Założenia!$B$19</f>
        <v>3.33333333333333</v>
      </c>
      <c r="F20" s="28" t="n">
        <f aca="false">F5*Założenia!$B$20/Założenia!$B$19</f>
        <v>3.33333333333333</v>
      </c>
      <c r="G20" s="28" t="n">
        <f aca="false">G5*Założenia!$B$20/Założenia!$B$19</f>
        <v>3.33333333333333</v>
      </c>
      <c r="H20" s="28" t="n">
        <f aca="false">H5*Założenia!$B$20/Założenia!$B$19</f>
        <v>4</v>
      </c>
      <c r="I20" s="28" t="n">
        <f aca="false">I5*Założenia!$B$20/Założenia!$B$19</f>
        <v>4</v>
      </c>
    </row>
    <row r="22" customFormat="false" ht="15" hidden="false" customHeight="false" outlineLevel="0" collapsed="false">
      <c r="A22" s="10" t="s">
        <v>70</v>
      </c>
      <c r="C22" s="22" t="n">
        <f aca="false">Założenia!$B$23</f>
        <v>300000</v>
      </c>
    </row>
    <row r="23" customFormat="false" ht="15" hidden="false" customHeight="false" outlineLevel="0" collapsed="false">
      <c r="A23" s="10" t="s">
        <v>71</v>
      </c>
      <c r="C23" s="22" t="n">
        <f aca="false">Założenia!$B$24</f>
        <v>10000000</v>
      </c>
    </row>
    <row r="24" customFormat="false" ht="15" hidden="false" customHeight="false" outlineLevel="0" collapsed="false">
      <c r="A24" s="10" t="s">
        <v>72</v>
      </c>
      <c r="C24" s="25" t="n">
        <f aca="false">C16/C22</f>
        <v>1.916</v>
      </c>
    </row>
    <row r="25" customFormat="false" ht="15" hidden="false" customHeight="false" outlineLevel="0" collapsed="false">
      <c r="A25" s="10" t="s">
        <v>73</v>
      </c>
      <c r="C25" s="25" t="n">
        <f aca="false">I16/C23</f>
        <v>1.09086846679688</v>
      </c>
    </row>
    <row r="27" customFormat="false" ht="15" hidden="false" customHeight="false" outlineLevel="0" collapsed="false">
      <c r="A27" s="31" t="s">
        <v>99</v>
      </c>
    </row>
    <row r="28" customFormat="false" ht="15" hidden="false" customHeight="false" outlineLevel="0" collapsed="false">
      <c r="A28" s="31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2026-06-14T09:27:00Z</dcterms:created>
  <dc:creator>openpyxl</dc:creator>
  <dc:description/>
  <dc:language>en-US</dc:language>
  <cp:lastModifiedBy/>
  <dcterms:modified xsi:type="dcterms:W3CDTF">2026-06-14T09:27:00Z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