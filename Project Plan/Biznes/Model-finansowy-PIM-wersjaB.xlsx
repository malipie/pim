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odsumowanie" sheetId="1" state="visible" r:id="rId3"/>
    <sheet name="Założenia (B)" sheetId="2" state="visible" r:id="rId4"/>
    <sheet name="B_ProductLed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<sst xmlns="http://schemas.openxmlformats.org/spreadsheetml/2006/main" count="85" uniqueCount="78">
  <si>
    <t xml:space="preserve">Wersja B — podsumowanie i porównanie z wersją A</t>
  </si>
  <si>
    <t xml:space="preserve">Test 300 000 zł (R1) i 10 000 000 zł (R7).</t>
  </si>
  <si>
    <t xml:space="preserve">Wariant</t>
  </si>
  <si>
    <t xml:space="preserve">Przychód R1</t>
  </si>
  <si>
    <t xml:space="preserve">Real. R1</t>
  </si>
  <si>
    <t xml:space="preserve">Przychód R7</t>
  </si>
  <si>
    <t xml:space="preserve">Real. R7</t>
  </si>
  <si>
    <t xml:space="preserve">FTE R7</t>
  </si>
  <si>
    <t xml:space="preserve">Charakter</t>
  </si>
  <si>
    <t xml:space="preserve">B — Product-led wedge→PIM</t>
  </si>
  <si>
    <t xml:space="preserve">~6-9</t>
  </si>
  <si>
    <t xml:space="preserve">Viral premium, no free plan, hard paywall, founder-proxy</t>
  </si>
  <si>
    <t xml:space="preserve">(ref) A — Hybryda usługowa</t>
  </si>
  <si>
    <t xml:space="preserve">574800</t>
  </si>
  <si>
    <t xml:space="preserve">1.916</t>
  </si>
  <si>
    <t xml:space="preserve">10908685</t>
  </si>
  <si>
    <t xml:space="preserve">1.0909</t>
  </si>
  <si>
    <t xml:space="preserve">~8-12</t>
  </si>
  <si>
    <t xml:space="preserve">Usługi finansują produkt (wersja A)</t>
  </si>
  <si>
    <t xml:space="preserve">Rekomendacja B: product-led wedge→platforma. 50k upfront + viral playbook czynią product-led wykonalnym szybciej niż w wersji A; usługi stają się opcjonalnym add-onem, nie silnikiem.</t>
  </si>
  <si>
    <t xml:space="preserve">Cortex PIM — Model finansowy WERSJA B (50k upfront + 32 zasady viral product)</t>
  </si>
  <si>
    <t xml:space="preserve">Niebieskie=wejścia, Czarne=formuły, Zielone=odwołania. Strategia: product-led wedge → platforma (premium, no free plan, hard paywall).</t>
  </si>
  <si>
    <t xml:space="preserve">KAPITAŁ I KURSY</t>
  </si>
  <si>
    <t xml:space="preserve">Kapitał początkowy (od ręki)</t>
  </si>
  <si>
    <t xml:space="preserve">zł</t>
  </si>
  <si>
    <t xml:space="preserve">Nowe założenie wersji B — wdrażany w rok 1 na brand/design/akwizycję/freelancera</t>
  </si>
  <si>
    <t xml:space="preserve">Kurs EUR/PLN</t>
  </si>
  <si>
    <t xml:space="preserve">~2026</t>
  </si>
  <si>
    <t xml:space="preserve">WEDGE — viralowy produkt wejściowy (one-time)</t>
  </si>
  <si>
    <t xml:space="preserve">Cena wedge (one-time)</t>
  </si>
  <si>
    <t xml:space="preserve">Zasada #27 one-time + #32 premium. Sharp AI-tool (np. "AI wypełnia katalog")</t>
  </si>
  <si>
    <t xml:space="preserve">Koszt zmienny wedge / sprzedaż</t>
  </si>
  <si>
    <t xml:space="preserve">API/AI compute + płatność (~10%)</t>
  </si>
  <si>
    <t xml:space="preserve">Konwersja wedge → PIM</t>
  </si>
  <si>
    <t xml:space="preserve">%</t>
  </si>
  <si>
    <t xml:space="preserve">% kupujących wedge, którzy przechodzą na platformę (lejek)</t>
  </si>
  <si>
    <t xml:space="preserve">PLATFORMA PIM (subskrypcja premium)</t>
  </si>
  <si>
    <t xml:space="preserve">ACV PIM — blended (premium)</t>
  </si>
  <si>
    <t xml:space="preserve">Zasada #32 charge more. Popcorn 3 tiery: 24k/45k/90k. Wyżej niż wersja A (30k)</t>
  </si>
  <si>
    <t xml:space="preserve">Churn roczny PIM (premium, sticky)</t>
  </si>
  <si>
    <t xml:space="preserve">Premium + brak free plan = wyższa intencja, niższy churn niż 30%</t>
  </si>
  <si>
    <t xml:space="preserve">Koszt obsługi (CS) — klientów / FTE</t>
  </si>
  <si>
    <t xml:space="preserve">szt</t>
  </si>
  <si>
    <t xml:space="preserve">Premium B2B, ~90 kont/FTE</t>
  </si>
  <si>
    <t xml:space="preserve">CELE</t>
  </si>
  <si>
    <t xml:space="preserve">Cel — rok 1</t>
  </si>
  <si>
    <t xml:space="preserve">Wejście operatora</t>
  </si>
  <si>
    <t xml:space="preserve">Cel — rok 7</t>
  </si>
  <si>
    <t xml:space="preserve">Wersja B — Product-led: wedge viralowy → platforma PIM premium</t>
  </si>
  <si>
    <t xml:space="preserve">Wedge (one-time, AI-wave, no free plan, hard paywall) finansuje i zasila lejek. Platforma PIM (subskrypcja premium) = silnik 10 mln.</t>
  </si>
  <si>
    <t xml:space="preserve">Pozycja</t>
  </si>
  <si>
    <t xml:space="preserve">Rok 1</t>
  </si>
  <si>
    <t xml:space="preserve">Rok 2</t>
  </si>
  <si>
    <t xml:space="preserve">Rok 3</t>
  </si>
  <si>
    <t xml:space="preserve">Rok 4</t>
  </si>
  <si>
    <t xml:space="preserve">Rok 5</t>
  </si>
  <si>
    <t xml:space="preserve">Rok 6</t>
  </si>
  <si>
    <t xml:space="preserve">Rok 7</t>
  </si>
  <si>
    <t xml:space="preserve">WEDGE — sprzedaże / rok [WEJŚCIE]</t>
  </si>
  <si>
    <t xml:space="preserve">Przychód wedge (one-time, zł)</t>
  </si>
  <si>
    <t xml:space="preserve">Marża wedge (zł)</t>
  </si>
  <si>
    <t xml:space="preserve">Nowe konta PIM z wedge (lejek)</t>
  </si>
  <si>
    <t xml:space="preserve">PIM — dodatkowi nowi klienci [WEJŚCIE]</t>
  </si>
  <si>
    <t xml:space="preserve">PIM — nowi klienci łącznie</t>
  </si>
  <si>
    <t xml:space="preserve">PIM — klienci na początku roku</t>
  </si>
  <si>
    <t xml:space="preserve">PIM — utraceni (churn)</t>
  </si>
  <si>
    <t xml:space="preserve">PIM — aktywni (koniec roku)</t>
  </si>
  <si>
    <t xml:space="preserve">Przychód PIM (subskrypcja, zł)</t>
  </si>
  <si>
    <t xml:space="preserve">PRZYCHÓD CAŁKOWITY (zł)</t>
  </si>
  <si>
    <t xml:space="preserve">  w tym recurring (PIM)</t>
  </si>
  <si>
    <t xml:space="preserve">  udział recurring</t>
  </si>
  <si>
    <t xml:space="preserve">Potrzebne FTE (CS PIM)</t>
  </si>
  <si>
    <t xml:space="preserve">Cel rok 1</t>
  </si>
  <si>
    <t xml:space="preserve">Cel rok 7</t>
  </si>
  <si>
    <t xml:space="preserve">Realizacja rok 1</t>
  </si>
  <si>
    <t xml:space="preserve">Realizacja rok 7</t>
  </si>
  <si>
    <t xml:space="preserve">Wniosek: 50k w rok 1 finansuje viralowy wedge + brand → rok 1 ponad cel. Premium ACV (45k) obniża potrzebną bazę z ~310 do ~150 klientów PIM.</t>
  </si>
  <si>
    <t xml:space="preserve">Rok 7 ~10 mln, recurring dominuje, FTE ~2 (CS) + product/freelancerzy (~6-9 łącznie). Wedge = lejek + cash, platforma = silnik. CEE/EU od ~roku 3-4.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</si>
</sst>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&quot; zł&quot;;\(#,##0&quot;) zł&quot;;\-"/>
    <numFmt numFmtId="166" formatCode="0.0%"/>
    <numFmt numFmtId="167" formatCode="#,##0"/>
    <numFmt numFmtId="168" formatCode="#,##0;\(#,##0\);\-"/>
    <numFmt numFmtId="169" formatCode="0.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i val="true"/>
      <sz val="9"/>
      <color rgb="FF0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8000"/>
      <name val="Arial"/>
      <family val="0"/>
      <charset val="1"/>
    </font>
    <font>
      <sz val="9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8"/>
      <color rgb="FF808080"/>
      <name val="Arial"/>
      <family val="0"/>
      <charset val="1"/>
    </font>
    <font>
      <i val="true"/>
      <sz val="9"/>
      <color rgb="FF00610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6F43"/>
        <bgColor rgb="FF008080"/>
      </patternFill>
    </fill>
    <fill>
      <patternFill patternType="solid">
        <fgColor rgb="FFFFF2CC"/>
        <bgColor rgb="FFFFFFFF"/>
      </patternFill>
    </fill>
    <fill>
      <patternFill patternType="solid">
        <fgColor rgb="FFD9D9D9"/>
        <bgColor rgb="FFBFBFB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1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1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1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F6F43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61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6" min="2" style="0" width="14"/>
    <col collapsed="false" customWidth="true" hidden="false" outlineLevel="0" max="7" min="7" style="0" width="50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customFormat="false" ht="15" hidden="false" customHeight="false" outlineLevel="0" collapsed="false">
      <c r="A5" s="4" t="s">
        <v>9</v>
      </c>
      <c r="B5" s="5" t="n">
        <f aca="false">B_ProductLed!C17</f>
        <v>510000</v>
      </c>
      <c r="C5" s="6" t="n">
        <f aca="false">B_ProductLed!C17/'Założenia (B)'!$B$19</f>
        <v>1.7</v>
      </c>
      <c r="D5" s="5" t="n">
        <f aca="false">B_ProductLed!I17</f>
        <v>10475049.2562854</v>
      </c>
      <c r="E5" s="6" t="n">
        <f aca="false">B_ProductLed!I17/'Założenia (B)'!$B$20</f>
        <v>1.04750492562854</v>
      </c>
      <c r="F5" s="7" t="s">
        <v>10</v>
      </c>
      <c r="G5" s="8" t="s">
        <v>11</v>
      </c>
    </row>
    <row r="6" customFormat="false" ht="15" hidden="false" customHeight="false" outlineLevel="0" collapsed="false">
      <c r="A6" s="4" t="s">
        <v>12</v>
      </c>
      <c r="B6" s="9" t="s">
        <v>13</v>
      </c>
      <c r="C6" s="6" t="s">
        <v>14</v>
      </c>
      <c r="D6" s="9" t="s">
        <v>15</v>
      </c>
      <c r="E6" s="6" t="s">
        <v>16</v>
      </c>
      <c r="F6" s="7" t="s">
        <v>17</v>
      </c>
      <c r="G6" s="8" t="s">
        <v>18</v>
      </c>
    </row>
    <row r="8" customFormat="false" ht="15" hidden="false" customHeight="false" outlineLevel="0" collapsed="false">
      <c r="A8" s="10" t="s">
        <v>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4"/>
    <col collapsed="false" customWidth="true" hidden="false" outlineLevel="0" max="3" min="3" style="0" width="7"/>
    <col collapsed="false" customWidth="true" hidden="false" outlineLevel="0" max="4" min="4" style="0" width="72"/>
  </cols>
  <sheetData>
    <row r="1" customFormat="false" ht="16.15" hidden="false" customHeight="false" outlineLevel="0" collapsed="false">
      <c r="A1" s="1" t="s">
        <v>20</v>
      </c>
    </row>
    <row r="2" customFormat="false" ht="15" hidden="false" customHeight="false" outlineLevel="0" collapsed="false">
      <c r="A2" s="2" t="s">
        <v>21</v>
      </c>
    </row>
    <row r="4" customFormat="false" ht="15" hidden="false" customHeight="false" outlineLevel="0" collapsed="false">
      <c r="A4" s="11" t="s">
        <v>22</v>
      </c>
      <c r="B4" s="12"/>
      <c r="C4" s="12"/>
      <c r="D4" s="12"/>
    </row>
    <row r="5" customFormat="false" ht="15" hidden="false" customHeight="false" outlineLevel="0" collapsed="false">
      <c r="A5" s="13" t="s">
        <v>23</v>
      </c>
      <c r="B5" s="14" t="n">
        <v>50000</v>
      </c>
      <c r="C5" s="2" t="s">
        <v>24</v>
      </c>
      <c r="D5" s="15" t="s">
        <v>25</v>
      </c>
    </row>
    <row r="6" customFormat="false" ht="15" hidden="false" customHeight="false" outlineLevel="0" collapsed="false">
      <c r="A6" s="13" t="s">
        <v>26</v>
      </c>
      <c r="B6" s="16" t="n">
        <v>4.3</v>
      </c>
      <c r="C6" s="2"/>
      <c r="D6" s="15" t="s">
        <v>27</v>
      </c>
    </row>
    <row r="7" customFormat="false" ht="15" hidden="false" customHeight="false" outlineLevel="0" collapsed="false">
      <c r="A7" s="11" t="s">
        <v>28</v>
      </c>
      <c r="B7" s="12"/>
      <c r="C7" s="12"/>
      <c r="D7" s="12"/>
    </row>
    <row r="8" customFormat="false" ht="15" hidden="false" customHeight="false" outlineLevel="0" collapsed="false">
      <c r="A8" s="13" t="s">
        <v>29</v>
      </c>
      <c r="B8" s="14" t="n">
        <v>1500</v>
      </c>
      <c r="C8" s="2" t="s">
        <v>24</v>
      </c>
      <c r="D8" s="15" t="s">
        <v>30</v>
      </c>
    </row>
    <row r="9" customFormat="false" ht="15" hidden="false" customHeight="false" outlineLevel="0" collapsed="false">
      <c r="A9" s="13" t="s">
        <v>31</v>
      </c>
      <c r="B9" s="14" t="n">
        <v>150</v>
      </c>
      <c r="C9" s="2" t="s">
        <v>24</v>
      </c>
      <c r="D9" s="15" t="s">
        <v>32</v>
      </c>
    </row>
    <row r="10" customFormat="false" ht="15" hidden="false" customHeight="false" outlineLevel="0" collapsed="false">
      <c r="A10" s="13" t="s">
        <v>33</v>
      </c>
      <c r="B10" s="17" t="n">
        <v>0.04</v>
      </c>
      <c r="C10" s="2" t="s">
        <v>34</v>
      </c>
      <c r="D10" s="15" t="s">
        <v>35</v>
      </c>
    </row>
    <row r="12" customFormat="false" ht="15" hidden="false" customHeight="false" outlineLevel="0" collapsed="false">
      <c r="A12" s="11" t="s">
        <v>36</v>
      </c>
      <c r="B12" s="12"/>
      <c r="C12" s="12"/>
      <c r="D12" s="12"/>
    </row>
    <row r="13" customFormat="false" ht="15" hidden="false" customHeight="false" outlineLevel="0" collapsed="false">
      <c r="A13" s="13" t="s">
        <v>37</v>
      </c>
      <c r="B13" s="14" t="n">
        <v>45000</v>
      </c>
      <c r="C13" s="2" t="s">
        <v>24</v>
      </c>
      <c r="D13" s="15" t="s">
        <v>38</v>
      </c>
    </row>
    <row r="14" customFormat="false" ht="15" hidden="false" customHeight="false" outlineLevel="0" collapsed="false">
      <c r="A14" s="13" t="s">
        <v>39</v>
      </c>
      <c r="B14" s="17" t="n">
        <v>0.22</v>
      </c>
      <c r="C14" s="2" t="s">
        <v>34</v>
      </c>
      <c r="D14" s="15" t="s">
        <v>40</v>
      </c>
    </row>
    <row r="15" customFormat="false" ht="15" hidden="false" customHeight="false" outlineLevel="0" collapsed="false">
      <c r="A15" s="13" t="s">
        <v>41</v>
      </c>
      <c r="B15" s="16" t="n">
        <v>90</v>
      </c>
      <c r="C15" s="2" t="s">
        <v>42</v>
      </c>
      <c r="D15" s="15" t="s">
        <v>43</v>
      </c>
    </row>
    <row r="18" customFormat="false" ht="15" hidden="false" customHeight="false" outlineLevel="0" collapsed="false">
      <c r="A18" s="11" t="s">
        <v>44</v>
      </c>
      <c r="B18" s="12"/>
      <c r="C18" s="12"/>
      <c r="D18" s="12"/>
    </row>
    <row r="19" customFormat="false" ht="15" hidden="false" customHeight="false" outlineLevel="0" collapsed="false">
      <c r="A19" s="13" t="s">
        <v>45</v>
      </c>
      <c r="B19" s="14" t="n">
        <v>300000</v>
      </c>
      <c r="C19" s="2" t="s">
        <v>24</v>
      </c>
      <c r="D19" s="15" t="s">
        <v>46</v>
      </c>
    </row>
    <row r="20" customFormat="false" ht="15" hidden="false" customHeight="false" outlineLevel="0" collapsed="false">
      <c r="A20" s="13" t="s">
        <v>47</v>
      </c>
      <c r="B20" s="14" t="n">
        <v>10000000</v>
      </c>
      <c r="C20" s="2" t="s">
        <v>24</v>
      </c>
      <c r="D20" s="15" t="s">
        <v>46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  <col collapsed="false" customWidth="true" hidden="false" outlineLevel="0" max="9" min="3" style="0" width="13"/>
  </cols>
  <sheetData>
    <row r="1" customFormat="false" ht="16.15" hidden="false" customHeight="false" outlineLevel="0" collapsed="false">
      <c r="A1" s="1" t="s">
        <v>48</v>
      </c>
    </row>
    <row r="2" customFormat="false" ht="15" hidden="false" customHeight="false" outlineLevel="0" collapsed="false">
      <c r="A2" s="2" t="s">
        <v>49</v>
      </c>
    </row>
    <row r="4" customFormat="false" ht="15" hidden="false" customHeight="false" outlineLevel="0" collapsed="false">
      <c r="A4" s="18" t="s">
        <v>50</v>
      </c>
      <c r="C4" s="19" t="s">
        <v>51</v>
      </c>
      <c r="D4" s="19" t="s">
        <v>52</v>
      </c>
      <c r="E4" s="19" t="s">
        <v>53</v>
      </c>
      <c r="F4" s="19" t="s">
        <v>54</v>
      </c>
      <c r="G4" s="19" t="s">
        <v>55</v>
      </c>
      <c r="H4" s="19" t="s">
        <v>56</v>
      </c>
      <c r="I4" s="19" t="s">
        <v>57</v>
      </c>
    </row>
    <row r="5" customFormat="false" ht="15" hidden="false" customHeight="false" outlineLevel="0" collapsed="false">
      <c r="A5" s="10" t="s">
        <v>58</v>
      </c>
      <c r="C5" s="20" t="n">
        <v>100</v>
      </c>
      <c r="D5" s="20" t="n">
        <v>250</v>
      </c>
      <c r="E5" s="20" t="n">
        <v>400</v>
      </c>
      <c r="F5" s="20" t="n">
        <v>550</v>
      </c>
      <c r="G5" s="20" t="n">
        <v>650</v>
      </c>
      <c r="H5" s="20" t="n">
        <v>720</v>
      </c>
      <c r="I5" s="20" t="n">
        <v>800</v>
      </c>
    </row>
    <row r="6" customFormat="false" ht="15" hidden="false" customHeight="false" outlineLevel="0" collapsed="false">
      <c r="A6" s="13" t="s">
        <v>59</v>
      </c>
      <c r="C6" s="21" t="n">
        <f aca="false">C5*'Założenia (B)'!$B$8</f>
        <v>150000</v>
      </c>
      <c r="D6" s="21" t="n">
        <f aca="false">D5*'Założenia (B)'!$B$8</f>
        <v>375000</v>
      </c>
      <c r="E6" s="21" t="n">
        <f aca="false">E5*'Założenia (B)'!$B$8</f>
        <v>600000</v>
      </c>
      <c r="F6" s="21" t="n">
        <f aca="false">F5*'Założenia (B)'!$B$8</f>
        <v>825000</v>
      </c>
      <c r="G6" s="21" t="n">
        <f aca="false">G5*'Założenia (B)'!$B$8</f>
        <v>975000</v>
      </c>
      <c r="H6" s="21" t="n">
        <f aca="false">H5*'Założenia (B)'!$B$8</f>
        <v>1080000</v>
      </c>
      <c r="I6" s="21" t="n">
        <f aca="false">I5*'Założenia (B)'!$B$8</f>
        <v>1200000</v>
      </c>
    </row>
    <row r="7" customFormat="false" ht="15" hidden="false" customHeight="false" outlineLevel="0" collapsed="false">
      <c r="A7" s="13" t="s">
        <v>60</v>
      </c>
      <c r="C7" s="21" t="n">
        <f aca="false">C5*('Założenia (B)'!$B$8-'Założenia (B)'!$B$9)</f>
        <v>135000</v>
      </c>
      <c r="D7" s="21" t="n">
        <f aca="false">D5*('Założenia (B)'!$B$8-'Założenia (B)'!$B$9)</f>
        <v>337500</v>
      </c>
      <c r="E7" s="21" t="n">
        <f aca="false">E5*('Założenia (B)'!$B$8-'Założenia (B)'!$B$9)</f>
        <v>540000</v>
      </c>
      <c r="F7" s="21" t="n">
        <f aca="false">F5*('Założenia (B)'!$B$8-'Założenia (B)'!$B$9)</f>
        <v>742500</v>
      </c>
      <c r="G7" s="21" t="n">
        <f aca="false">G5*('Założenia (B)'!$B$8-'Założenia (B)'!$B$9)</f>
        <v>877500</v>
      </c>
      <c r="H7" s="21" t="n">
        <f aca="false">H5*('Założenia (B)'!$B$8-'Założenia (B)'!$B$9)</f>
        <v>972000</v>
      </c>
      <c r="I7" s="21" t="n">
        <f aca="false">I5*('Założenia (B)'!$B$8-'Założenia (B)'!$B$9)</f>
        <v>1080000</v>
      </c>
    </row>
    <row r="8" customFormat="false" ht="15" hidden="false" customHeight="false" outlineLevel="0" collapsed="false">
      <c r="A8" s="13" t="s">
        <v>61</v>
      </c>
      <c r="C8" s="22" t="n">
        <f aca="false">C5*'Założenia (B)'!$B$10</f>
        <v>4</v>
      </c>
      <c r="D8" s="22" t="n">
        <f aca="false">D5*'Założenia (B)'!$B$10</f>
        <v>10</v>
      </c>
      <c r="E8" s="22" t="n">
        <f aca="false">E5*'Założenia (B)'!$B$10</f>
        <v>16</v>
      </c>
      <c r="F8" s="22" t="n">
        <f aca="false">F5*'Założenia (B)'!$B$10</f>
        <v>22</v>
      </c>
      <c r="G8" s="22" t="n">
        <f aca="false">G5*'Założenia (B)'!$B$10</f>
        <v>26</v>
      </c>
      <c r="H8" s="22" t="n">
        <f aca="false">H5*'Założenia (B)'!$B$10</f>
        <v>28.8</v>
      </c>
      <c r="I8" s="22" t="n">
        <f aca="false">I5*'Założenia (B)'!$B$10</f>
        <v>32</v>
      </c>
    </row>
    <row r="10" customFormat="false" ht="15" hidden="false" customHeight="false" outlineLevel="0" collapsed="false">
      <c r="A10" s="10" t="s">
        <v>62</v>
      </c>
      <c r="C10" s="20" t="n">
        <v>4</v>
      </c>
      <c r="D10" s="20" t="n">
        <v>12</v>
      </c>
      <c r="E10" s="20" t="n">
        <v>22</v>
      </c>
      <c r="F10" s="20" t="n">
        <v>30</v>
      </c>
      <c r="G10" s="20" t="n">
        <v>35</v>
      </c>
      <c r="H10" s="20" t="n">
        <v>38</v>
      </c>
      <c r="I10" s="20" t="n">
        <v>38</v>
      </c>
    </row>
    <row r="11" customFormat="false" ht="15" hidden="false" customHeight="false" outlineLevel="0" collapsed="false">
      <c r="A11" s="13" t="s">
        <v>63</v>
      </c>
      <c r="C11" s="22" t="n">
        <f aca="false">C8+C10</f>
        <v>8</v>
      </c>
      <c r="D11" s="22" t="n">
        <f aca="false">D8+D10</f>
        <v>22</v>
      </c>
      <c r="E11" s="22" t="n">
        <f aca="false">E8+E10</f>
        <v>38</v>
      </c>
      <c r="F11" s="22" t="n">
        <f aca="false">F8+F10</f>
        <v>52</v>
      </c>
      <c r="G11" s="22" t="n">
        <f aca="false">G8+G10</f>
        <v>61</v>
      </c>
      <c r="H11" s="22" t="n">
        <f aca="false">H8+H10</f>
        <v>66.8</v>
      </c>
      <c r="I11" s="22" t="n">
        <f aca="false">I8+I10</f>
        <v>70</v>
      </c>
    </row>
    <row r="12" customFormat="false" ht="15" hidden="false" customHeight="false" outlineLevel="0" collapsed="false">
      <c r="A12" s="13" t="s">
        <v>64</v>
      </c>
      <c r="C12" s="22" t="n">
        <v>0</v>
      </c>
      <c r="D12" s="22" t="n">
        <f aca="false">C14</f>
        <v>8</v>
      </c>
      <c r="E12" s="22" t="n">
        <f aca="false">D14</f>
        <v>28.24</v>
      </c>
      <c r="F12" s="22" t="n">
        <f aca="false">E14</f>
        <v>60.0272</v>
      </c>
      <c r="G12" s="22" t="n">
        <f aca="false">F14</f>
        <v>98.821216</v>
      </c>
      <c r="H12" s="22" t="n">
        <f aca="false">G14</f>
        <v>138.08054848</v>
      </c>
      <c r="I12" s="22" t="n">
        <f aca="false">H14</f>
        <v>174.5028278144</v>
      </c>
    </row>
    <row r="13" customFormat="false" ht="15" hidden="false" customHeight="false" outlineLevel="0" collapsed="false">
      <c r="A13" s="13" t="s">
        <v>65</v>
      </c>
      <c r="C13" s="22" t="n">
        <f aca="false">C12*'Założenia (B)'!$B$14</f>
        <v>0</v>
      </c>
      <c r="D13" s="22" t="n">
        <f aca="false">D12*'Założenia (B)'!$B$14</f>
        <v>1.76</v>
      </c>
      <c r="E13" s="22" t="n">
        <f aca="false">E12*'Założenia (B)'!$B$14</f>
        <v>6.2128</v>
      </c>
      <c r="F13" s="22" t="n">
        <f aca="false">F12*'Założenia (B)'!$B$14</f>
        <v>13.205984</v>
      </c>
      <c r="G13" s="22" t="n">
        <f aca="false">G12*'Założenia (B)'!$B$14</f>
        <v>21.74066752</v>
      </c>
      <c r="H13" s="22" t="n">
        <f aca="false">H12*'Założenia (B)'!$B$14</f>
        <v>30.3777206656</v>
      </c>
      <c r="I13" s="22" t="n">
        <f aca="false">I12*'Założenia (B)'!$B$14</f>
        <v>38.390622119168</v>
      </c>
    </row>
    <row r="14" customFormat="false" ht="15" hidden="false" customHeight="false" outlineLevel="0" collapsed="false">
      <c r="A14" s="10" t="s">
        <v>66</v>
      </c>
      <c r="C14" s="23" t="n">
        <f aca="false">C12-C13+C11</f>
        <v>8</v>
      </c>
      <c r="D14" s="23" t="n">
        <f aca="false">D12-D13+D11</f>
        <v>28.24</v>
      </c>
      <c r="E14" s="23" t="n">
        <f aca="false">E12-E13+E11</f>
        <v>60.0272</v>
      </c>
      <c r="F14" s="23" t="n">
        <f aca="false">F12-F13+F11</f>
        <v>98.821216</v>
      </c>
      <c r="G14" s="23" t="n">
        <f aca="false">G12-G13+G11</f>
        <v>138.08054848</v>
      </c>
      <c r="H14" s="23" t="n">
        <f aca="false">H12-H13+H11</f>
        <v>174.5028278144</v>
      </c>
      <c r="I14" s="23" t="n">
        <f aca="false">I12-I13+I11</f>
        <v>206.112205695232</v>
      </c>
    </row>
    <row r="15" customFormat="false" ht="15" hidden="false" customHeight="false" outlineLevel="0" collapsed="false">
      <c r="A15" s="13" t="s">
        <v>67</v>
      </c>
      <c r="C15" s="21" t="n">
        <f aca="false">C14*'Założenia (B)'!$B$13</f>
        <v>360000</v>
      </c>
      <c r="D15" s="21" t="n">
        <f aca="false">D14*'Założenia (B)'!$B$13</f>
        <v>1270800</v>
      </c>
      <c r="E15" s="21" t="n">
        <f aca="false">E14*'Założenia (B)'!$B$13</f>
        <v>2701224</v>
      </c>
      <c r="F15" s="21" t="n">
        <f aca="false">F14*'Założenia (B)'!$B$13</f>
        <v>4446954.72</v>
      </c>
      <c r="G15" s="21" t="n">
        <f aca="false">G14*'Założenia (B)'!$B$13</f>
        <v>6213624.6816</v>
      </c>
      <c r="H15" s="21" t="n">
        <f aca="false">H14*'Założenia (B)'!$B$13</f>
        <v>7852627.251648</v>
      </c>
      <c r="I15" s="21" t="n">
        <f aca="false">I14*'Założenia (B)'!$B$13</f>
        <v>9275049.25628544</v>
      </c>
    </row>
    <row r="17" customFormat="false" ht="15" hidden="false" customHeight="false" outlineLevel="0" collapsed="false">
      <c r="A17" s="24" t="s">
        <v>68</v>
      </c>
      <c r="C17" s="25" t="n">
        <f aca="false">C6+C15</f>
        <v>510000</v>
      </c>
      <c r="D17" s="25" t="n">
        <f aca="false">D6+D15</f>
        <v>1645800</v>
      </c>
      <c r="E17" s="25" t="n">
        <f aca="false">E6+E15</f>
        <v>3301224</v>
      </c>
      <c r="F17" s="25" t="n">
        <f aca="false">F6+F15</f>
        <v>5271954.72</v>
      </c>
      <c r="G17" s="25" t="n">
        <f aca="false">G6+G15</f>
        <v>7188624.6816</v>
      </c>
      <c r="H17" s="25" t="n">
        <f aca="false">H6+H15</f>
        <v>8932627.251648</v>
      </c>
      <c r="I17" s="25" t="n">
        <f aca="false">I6+I15</f>
        <v>10475049.2562854</v>
      </c>
    </row>
    <row r="18" customFormat="false" ht="15" hidden="false" customHeight="false" outlineLevel="0" collapsed="false">
      <c r="A18" s="13" t="s">
        <v>69</v>
      </c>
      <c r="C18" s="21" t="n">
        <f aca="false">C15</f>
        <v>360000</v>
      </c>
      <c r="D18" s="21" t="n">
        <f aca="false">D15</f>
        <v>1270800</v>
      </c>
      <c r="E18" s="21" t="n">
        <f aca="false">E15</f>
        <v>2701224</v>
      </c>
      <c r="F18" s="21" t="n">
        <f aca="false">F15</f>
        <v>4446954.72</v>
      </c>
      <c r="G18" s="21" t="n">
        <f aca="false">G15</f>
        <v>6213624.6816</v>
      </c>
      <c r="H18" s="21" t="n">
        <f aca="false">H15</f>
        <v>7852627.251648</v>
      </c>
      <c r="I18" s="21" t="n">
        <f aca="false">I15</f>
        <v>9275049.25628544</v>
      </c>
    </row>
    <row r="19" customFormat="false" ht="15" hidden="false" customHeight="false" outlineLevel="0" collapsed="false">
      <c r="A19" s="10" t="s">
        <v>70</v>
      </c>
      <c r="C19" s="26" t="n">
        <f aca="false">C18/C17</f>
        <v>0.705882352941177</v>
      </c>
      <c r="D19" s="26" t="n">
        <f aca="false">D18/D17</f>
        <v>0.772147283995625</v>
      </c>
      <c r="E19" s="26" t="n">
        <f aca="false">E18/E17</f>
        <v>0.818249231194248</v>
      </c>
      <c r="F19" s="26" t="n">
        <f aca="false">F18/F17</f>
        <v>0.843511554287401</v>
      </c>
      <c r="G19" s="26" t="n">
        <f aca="false">G18/G17</f>
        <v>0.864369049270911</v>
      </c>
      <c r="H19" s="26" t="n">
        <f aca="false">H18/H17</f>
        <v>0.879094921396082</v>
      </c>
      <c r="I19" s="26" t="n">
        <f aca="false">I18/I17</f>
        <v>0.885442066128715</v>
      </c>
    </row>
    <row r="21" customFormat="false" ht="15" hidden="false" customHeight="false" outlineLevel="0" collapsed="false">
      <c r="A21" s="13" t="s">
        <v>71</v>
      </c>
      <c r="C21" s="27" t="n">
        <f aca="false">C14/'Założenia (B)'!$B$15</f>
        <v>0.0888888888888889</v>
      </c>
      <c r="D21" s="27" t="n">
        <f aca="false">D14/'Założenia (B)'!$B$15</f>
        <v>0.313777777777778</v>
      </c>
      <c r="E21" s="27" t="n">
        <f aca="false">E14/'Założenia (B)'!$B$15</f>
        <v>0.666968888888889</v>
      </c>
      <c r="F21" s="27" t="n">
        <f aca="false">F14/'Założenia (B)'!$B$15</f>
        <v>1.09801351111111</v>
      </c>
      <c r="G21" s="27" t="n">
        <f aca="false">G14/'Założenia (B)'!$B$15</f>
        <v>1.53422831644444</v>
      </c>
      <c r="H21" s="27" t="n">
        <f aca="false">H14/'Założenia (B)'!$B$15</f>
        <v>1.93892030904889</v>
      </c>
      <c r="I21" s="27" t="n">
        <f aca="false">I14/'Założenia (B)'!$B$15</f>
        <v>2.29013561883591</v>
      </c>
    </row>
    <row r="23" customFormat="false" ht="15" hidden="false" customHeight="false" outlineLevel="0" collapsed="false">
      <c r="A23" s="10" t="s">
        <v>72</v>
      </c>
      <c r="C23" s="28" t="n">
        <f aca="false">'Założenia (B)'!$B$19</f>
        <v>300000</v>
      </c>
    </row>
    <row r="24" customFormat="false" ht="15" hidden="false" customHeight="false" outlineLevel="0" collapsed="false">
      <c r="A24" s="10" t="s">
        <v>73</v>
      </c>
      <c r="C24" s="28" t="n">
        <f aca="false">'Założenia (B)'!$B$20</f>
        <v>10000000</v>
      </c>
    </row>
    <row r="25" customFormat="false" ht="15" hidden="false" customHeight="false" outlineLevel="0" collapsed="false">
      <c r="A25" s="10" t="s">
        <v>74</v>
      </c>
      <c r="C25" s="29" t="n">
        <f aca="false">C17/C23</f>
        <v>1.7</v>
      </c>
    </row>
    <row r="26" customFormat="false" ht="15" hidden="false" customHeight="false" outlineLevel="0" collapsed="false">
      <c r="A26" s="10" t="s">
        <v>75</v>
      </c>
      <c r="C26" s="29" t="n">
        <f aca="false">I17/C24</f>
        <v>1.04750492562854</v>
      </c>
    </row>
    <row r="28" customFormat="false" ht="15" hidden="false" customHeight="false" outlineLevel="0" collapsed="false">
      <c r="A28" s="30" t="s">
        <v>76</v>
      </c>
    </row>
    <row r="29" customFormat="false" ht="15" hidden="false" customHeight="false" outlineLevel="0" collapsed="false">
      <c r="A29" s="30" t="s">
        <v>77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2026-06-14T13:44:22Z</dcterms:created>
  <dc:creator>openpyxl</dc:creator>
  <dc:description/>
  <dc:language>en-US</dc:language>
  <cp:lastModifiedBy/>
  <dcterms:modified xsi:type="dcterms:W3CDTF">2026-06-14T13:44:22Z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